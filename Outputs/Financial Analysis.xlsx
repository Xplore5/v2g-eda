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Cost-Benefit Analysis" sheetId="7" r:id="rId1"/>
    <sheet name="Revenue" sheetId="9" r:id="rId2"/>
    <sheet name="Revenue-Arbitrage" sheetId="1" r:id="rId3"/>
    <sheet name="Revenue-Ancilary Service" sheetId="6" r:id="rId4"/>
    <sheet name="Revenue-DR" sheetId="2" r:id="rId5"/>
    <sheet name="CAPEX" sheetId="8" r:id="rId6"/>
    <sheet name="OPEX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<sst xmlns="http://schemas.openxmlformats.org/spreadsheetml/2006/main" count="177" uniqueCount="147">
  <si>
    <t>Parameter</t>
  </si>
  <si>
    <t>Assumption Value</t>
  </si>
  <si>
    <t>Discount Rate</t>
  </si>
  <si>
    <t>Number of DC chargers_Bus</t>
  </si>
  <si>
    <t>Number of DC chargers_Taxi</t>
  </si>
  <si>
    <t>Number of AC chargers</t>
  </si>
  <si>
    <t>Number of Taxi</t>
  </si>
  <si>
    <t>Number of Bus</t>
  </si>
  <si>
    <t>1. Net Present Value(NPV) Table_Baseline (100% EV Participation)</t>
  </si>
  <si>
    <t>Component</t>
  </si>
  <si>
    <t>Description</t>
  </si>
  <si>
    <t>Year 0 (SGD)</t>
  </si>
  <si>
    <t>Year 1 (SGD)</t>
  </si>
  <si>
    <t>Year 2 (SGD)</t>
  </si>
  <si>
    <t>Year 3 (SGD)</t>
  </si>
  <si>
    <t>Year 4 (SGD)</t>
  </si>
  <si>
    <t>Year 5 (SGD)</t>
  </si>
  <si>
    <t>Year 6 (SGD)</t>
  </si>
  <si>
    <t>Year 7 (SGD)</t>
  </si>
  <si>
    <t>Year 8 (SGD)</t>
  </si>
  <si>
    <t>Year 9 (SGD)</t>
  </si>
  <si>
    <t>Year 10 (SGD)</t>
  </si>
  <si>
    <t>Incremental CAPEX</t>
  </si>
  <si>
    <t>(-) DC</t>
  </si>
  <si>
    <t>Hardware premium + Compliance/Install</t>
  </si>
  <si>
    <t>(-) AC</t>
  </si>
  <si>
    <t>Total CAPEX</t>
  </si>
  <si>
    <t>Gross Revenue Streams</t>
  </si>
  <si>
    <t>(+) Arbitrage (Power constrained)</t>
  </si>
  <si>
    <t>Limited to 7kW discharge to preserve SoH.</t>
  </si>
  <si>
    <t>(+) Contingency Reserve</t>
  </si>
  <si>
    <t>Passive availability payment (Zero battery wear).</t>
  </si>
  <si>
    <t>(+) Demand Response (DR)</t>
  </si>
  <si>
    <t>High-value grid stress relief (20 events/year).</t>
  </si>
  <si>
    <t>Total Revenue</t>
  </si>
  <si>
    <t>Operational Expenditures</t>
  </si>
  <si>
    <t>(-) Software &amp; Aggregation</t>
  </si>
  <si>
    <t>SaaS fees for market participation.</t>
  </si>
  <si>
    <t>(-) Battery Wear Cost</t>
  </si>
  <si>
    <t>3,000 kWh discharge at $0.05/kWh.</t>
  </si>
  <si>
    <t>(-) Incremental Maintenance</t>
  </si>
  <si>
    <t>Inverter checks and cybersecurity patches.</t>
  </si>
  <si>
    <t>Total OPEX</t>
  </si>
  <si>
    <t>Net Operational Income</t>
  </si>
  <si>
    <t>Annual Cash Flow</t>
  </si>
  <si>
    <t>Discounted CF</t>
  </si>
  <si>
    <t>Discounted Cash Flow</t>
  </si>
  <si>
    <t>Net Present Value(NPV)</t>
  </si>
  <si>
    <t>NPV = PV(Revenue) - PV(CAPEX)</t>
  </si>
  <si>
    <t>2.Return of Investment (ROI)</t>
  </si>
  <si>
    <t>Name</t>
  </si>
  <si>
    <t>Initial Investment</t>
  </si>
  <si>
    <t>Annual CF</t>
  </si>
  <si>
    <t>Project Time</t>
  </si>
  <si>
    <t>Total Net Profit</t>
  </si>
  <si>
    <t>Result</t>
  </si>
  <si>
    <t>ROI</t>
  </si>
  <si>
    <t>3. Internal Rate of Return (IRR)</t>
  </si>
  <si>
    <t>IRR</t>
  </si>
  <si>
    <t>4. Payback Period</t>
  </si>
  <si>
    <t>Payback Period Type</t>
  </si>
  <si>
    <t>Explain</t>
  </si>
  <si>
    <t>No. of Years</t>
  </si>
  <si>
    <t>Static Payback Period</t>
  </si>
  <si>
    <t>T_static = Initial Investment / Net CF
It does not consider the factor of discounted rate</t>
  </si>
  <si>
    <t>Dynamic Payback Period</t>
  </si>
  <si>
    <t>The number of years the cumulative discounted cash flow covers the initial investment</t>
  </si>
  <si>
    <t>Annual Revenue Table</t>
  </si>
  <si>
    <t>Case</t>
  </si>
  <si>
    <t>Charger Capacity
(kW)</t>
  </si>
  <si>
    <t>No. of Chargers</t>
  </si>
  <si>
    <t>No. of Vehicles</t>
  </si>
  <si>
    <t>Arbitrage Revenue per Vehicle
(SGD)</t>
  </si>
  <si>
    <t>Ancillary Contingency Reserve per Vehicle
(SGD)</t>
  </si>
  <si>
    <t>DR Incentives per Vehicle
(SGD)</t>
  </si>
  <si>
    <t>Total Arbitrage Revenue
(SGD)</t>
  </si>
  <si>
    <t>Total Ancillary Contingency Reserve
(SGD)</t>
  </si>
  <si>
    <t>Total DR
Incentives
(SGD)</t>
  </si>
  <si>
    <t>Total Annual Revenue</t>
  </si>
  <si>
    <t>10 Bus + 5 DC</t>
  </si>
  <si>
    <t>20 Taxi + 10 DC</t>
  </si>
  <si>
    <t>80 Taxi + 50 AC</t>
  </si>
  <si>
    <t>100% Participation (Baseline)</t>
  </si>
  <si>
    <t>50% Participation</t>
  </si>
  <si>
    <t>Arbitrage Revenue per EV</t>
  </si>
  <si>
    <t>Fleet Type</t>
  </si>
  <si>
    <t>Strategy</t>
  </si>
  <si>
    <t>Charger Type</t>
  </si>
  <si>
    <t>Price Spread (SGD/kWh)</t>
  </si>
  <si>
    <t>Daily Est. Revenue (SGD)</t>
  </si>
  <si>
    <t>Annually Est. Revenue (SGD)</t>
  </si>
  <si>
    <t>Note</t>
  </si>
  <si>
    <t>Recommendation</t>
  </si>
  <si>
    <t>Case A</t>
  </si>
  <si>
    <t>AM Bus</t>
  </si>
  <si>
    <t>Arbitrage</t>
  </si>
  <si>
    <t>DC</t>
  </si>
  <si>
    <t>Generate Arbitrage Revenue</t>
  </si>
  <si>
    <t>Recommed</t>
  </si>
  <si>
    <t>Case B</t>
  </si>
  <si>
    <t>PM/Full-Day Bus</t>
  </si>
  <si>
    <t>Cost Saving</t>
  </si>
  <si>
    <t>Reduce OPEX</t>
  </si>
  <si>
    <t>Case C-1</t>
  </si>
  <si>
    <t>Taxi</t>
  </si>
  <si>
    <t>Case C-2</t>
  </si>
  <si>
    <t>Need DC 60kW to support arbitrage</t>
  </si>
  <si>
    <t>Case D</t>
  </si>
  <si>
    <t>AC</t>
  </si>
  <si>
    <t>Ancillary Service Revenue per EV</t>
  </si>
  <si>
    <t>Annual Operational Days</t>
  </si>
  <si>
    <t>Committed Curtailable Capacity
(MW)</t>
  </si>
  <si>
    <t>Daily Availability Window 
(h)</t>
  </si>
  <si>
    <t>Market Clearing Price
(SGD/MWh)</t>
  </si>
  <si>
    <t>System Reliability Factor</t>
  </si>
  <si>
    <t>Annual Revenue/vehicle
(SGD)</t>
  </si>
  <si>
    <t>A</t>
  </si>
  <si>
    <t>DC 60kW</t>
  </si>
  <si>
    <t>B</t>
  </si>
  <si>
    <t>AC 7.4kW</t>
  </si>
  <si>
    <t>Demand Response Incentives per EV</t>
  </si>
  <si>
    <t>Charger Type
(kW)</t>
  </si>
  <si>
    <t>DR Event Time(h)</t>
  </si>
  <si>
    <t>DR Incentives (SGD/kWh)</t>
  </si>
  <si>
    <t>Success Rate</t>
  </si>
  <si>
    <t>No. of DR Event</t>
  </si>
  <si>
    <t>Annual Est. Revenue/vehicle /event
(SGD)</t>
  </si>
  <si>
    <t>Annual Est. Revenue
(SGD)</t>
  </si>
  <si>
    <t>DR-DC</t>
  </si>
  <si>
    <t>Bus &amp; Taxi</t>
  </si>
  <si>
    <t>DR-AC</t>
  </si>
  <si>
    <t>Annual CAPEX Table</t>
  </si>
  <si>
    <t>Standard Charger Price (SGD)</t>
  </si>
  <si>
    <t>Hardware Premium (SGD)</t>
  </si>
  <si>
    <t>Installation Fee (SGD)</t>
  </si>
  <si>
    <t>Total CAPEX / Charger(SGD)</t>
  </si>
  <si>
    <t>Annual OPEX Model</t>
  </si>
  <si>
    <t>No. of EV</t>
  </si>
  <si>
    <t>Software License/Vehicle (SGD)</t>
  </si>
  <si>
    <t>Software License (SGD)</t>
  </si>
  <si>
    <t>Capacity (kWh)</t>
  </si>
  <si>
    <t>Unit Wear Cost (SGD/kWh)</t>
  </si>
  <si>
    <t>Annual Wear Cost (SGD)</t>
  </si>
  <si>
    <t>Unit Maintenance Cost(SGD)</t>
  </si>
  <si>
    <t>Maintenance Cost (SGD)</t>
  </si>
  <si>
    <t>Total Annual OPEX (SGD)</t>
  </si>
  <si>
    <t>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</si>
</sst>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%"/>
    <numFmt numFmtId="179" formatCode="0.000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9" applyNumberFormat="0" applyFill="0" applyAlignment="0" applyProtection="0">
      <alignment vertical="center"/>
    </xf>
    <xf numFmtId="0" fontId="12" fillId="0" borderId="49" applyNumberFormat="0" applyFill="0" applyAlignment="0" applyProtection="0">
      <alignment vertical="center"/>
    </xf>
    <xf numFmtId="0" fontId="13" fillId="0" borderId="5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1" applyNumberFormat="0" applyAlignment="0" applyProtection="0">
      <alignment vertical="center"/>
    </xf>
    <xf numFmtId="0" fontId="15" fillId="7" borderId="52" applyNumberFormat="0" applyAlignment="0" applyProtection="0">
      <alignment vertical="center"/>
    </xf>
    <xf numFmtId="0" fontId="16" fillId="7" borderId="51" applyNumberFormat="0" applyAlignment="0" applyProtection="0">
      <alignment vertical="center"/>
    </xf>
    <xf numFmtId="0" fontId="17" fillId="8" borderId="53" applyNumberFormat="0" applyAlignment="0" applyProtection="0">
      <alignment vertical="center"/>
    </xf>
    <xf numFmtId="0" fontId="18" fillId="0" borderId="54" applyNumberFormat="0" applyFill="0" applyAlignment="0" applyProtection="0">
      <alignment vertical="center"/>
    </xf>
    <xf numFmtId="0" fontId="19" fillId="0" borderId="55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176" fontId="3" fillId="0" borderId="9" xfId="0" applyNumberFormat="1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>
      <alignment vertical="center"/>
    </xf>
    <xf numFmtId="176" fontId="3" fillId="0" borderId="15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76" fontId="2" fillId="0" borderId="18" xfId="0" applyNumberFormat="1" applyFont="1" applyBorder="1" applyAlignment="1">
      <alignment horizontal="center" vertical="center" wrapText="1"/>
    </xf>
    <xf numFmtId="176" fontId="2" fillId="0" borderId="19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>
      <alignment vertical="center"/>
    </xf>
    <xf numFmtId="0" fontId="2" fillId="0" borderId="20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2" fillId="0" borderId="25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2" fillId="0" borderId="26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2" fillId="0" borderId="30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1" xfId="0" applyFont="1" applyBorder="1">
      <alignment vertical="center"/>
    </xf>
    <xf numFmtId="0" fontId="2" fillId="0" borderId="32" xfId="0" applyFont="1" applyBorder="1">
      <alignment vertical="center"/>
    </xf>
    <xf numFmtId="0" fontId="4" fillId="0" borderId="20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176" fontId="3" fillId="0" borderId="23" xfId="0" applyNumberFormat="1" applyFont="1" applyBorder="1" applyAlignment="1">
      <alignment horizontal="center" vertical="center"/>
    </xf>
    <xf numFmtId="176" fontId="3" fillId="0" borderId="24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9" fontId="3" fillId="0" borderId="28" xfId="0" applyNumberFormat="1" applyFont="1" applyBorder="1" applyAlignment="1">
      <alignment horizontal="center" vertical="center"/>
    </xf>
    <xf numFmtId="176" fontId="3" fillId="0" borderId="28" xfId="0" applyNumberFormat="1" applyFont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 readingOrder="1"/>
    </xf>
    <xf numFmtId="0" fontId="5" fillId="0" borderId="22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 readingOrder="1"/>
    </xf>
    <xf numFmtId="0" fontId="5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 readingOrder="1"/>
    </xf>
    <xf numFmtId="0" fontId="3" fillId="0" borderId="24" xfId="0" applyFont="1" applyBorder="1">
      <alignment vertical="center"/>
    </xf>
    <xf numFmtId="0" fontId="5" fillId="0" borderId="25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 readingOrder="1"/>
    </xf>
    <xf numFmtId="0" fontId="3" fillId="0" borderId="11" xfId="0" applyFont="1" applyBorder="1">
      <alignment vertical="center"/>
    </xf>
    <xf numFmtId="0" fontId="5" fillId="0" borderId="26" xfId="0" applyFont="1" applyBorder="1" applyAlignment="1">
      <alignment horizontal="center" vertical="center" wrapText="1" readingOrder="1"/>
    </xf>
    <xf numFmtId="0" fontId="5" fillId="0" borderId="27" xfId="0" applyFont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28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 readingOrder="1"/>
    </xf>
    <xf numFmtId="0" fontId="3" fillId="0" borderId="29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2" fillId="0" borderId="25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11" xfId="0" applyNumberFormat="1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176" fontId="2" fillId="0" borderId="28" xfId="0" applyNumberFormat="1" applyFont="1" applyFill="1" applyBorder="1" applyAlignment="1">
      <alignment horizontal="center" vertical="center"/>
    </xf>
    <xf numFmtId="176" fontId="2" fillId="0" borderId="2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178" fontId="3" fillId="0" borderId="9" xfId="3" applyNumberFormat="1" applyFont="1" applyBorder="1">
      <alignment vertical="center"/>
    </xf>
    <xf numFmtId="0" fontId="3" fillId="0" borderId="9" xfId="0" applyFont="1" applyBorder="1">
      <alignment vertical="center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33" xfId="0" applyFont="1" applyFill="1" applyBorder="1" applyAlignment="1">
      <alignment horizontal="center" vertical="center" wrapText="1" readingOrder="1"/>
    </xf>
    <xf numFmtId="0" fontId="4" fillId="0" borderId="34" xfId="0" applyFont="1" applyFill="1" applyBorder="1" applyAlignment="1">
      <alignment horizontal="center" vertical="center" wrapText="1" readingOrder="1"/>
    </xf>
    <xf numFmtId="0" fontId="4" fillId="0" borderId="35" xfId="0" applyFont="1" applyFill="1" applyBorder="1" applyAlignment="1">
      <alignment horizontal="center" vertical="center" wrapText="1" readingOrder="1"/>
    </xf>
    <xf numFmtId="0" fontId="4" fillId="0" borderId="36" xfId="0" applyFont="1" applyFill="1" applyBorder="1" applyAlignment="1">
      <alignment horizontal="center" vertical="center" wrapText="1" readingOrder="1"/>
    </xf>
    <xf numFmtId="0" fontId="4" fillId="0" borderId="37" xfId="0" applyFont="1" applyFill="1" applyBorder="1" applyAlignment="1">
      <alignment vertical="center" wrapText="1" readingOrder="1"/>
    </xf>
    <xf numFmtId="0" fontId="5" fillId="0" borderId="38" xfId="0" applyFont="1" applyFill="1" applyBorder="1" applyAlignment="1">
      <alignment vertical="center" wrapText="1" readingOrder="1"/>
    </xf>
    <xf numFmtId="4" fontId="4" fillId="0" borderId="39" xfId="0" applyNumberFormat="1" applyFont="1" applyFill="1" applyBorder="1" applyAlignment="1">
      <alignment vertical="center" wrapText="1" readingOrder="1"/>
    </xf>
    <xf numFmtId="4" fontId="4" fillId="0" borderId="5" xfId="0" applyNumberFormat="1" applyFont="1" applyFill="1" applyBorder="1" applyAlignment="1">
      <alignment vertical="center" wrapText="1" readingOrder="1"/>
    </xf>
    <xf numFmtId="4" fontId="4" fillId="0" borderId="6" xfId="0" applyNumberFormat="1" applyFont="1" applyFill="1" applyBorder="1" applyAlignment="1">
      <alignment vertical="center" wrapText="1" readingOrder="1"/>
    </xf>
    <xf numFmtId="0" fontId="5" fillId="0" borderId="40" xfId="0" applyFont="1" applyFill="1" applyBorder="1" applyAlignment="1">
      <alignment vertical="center" wrapText="1" readingOrder="1"/>
    </xf>
    <xf numFmtId="0" fontId="5" fillId="0" borderId="25" xfId="0" applyFont="1" applyFill="1" applyBorder="1" applyAlignment="1">
      <alignment vertical="center" wrapText="1" readingOrder="1"/>
    </xf>
    <xf numFmtId="4" fontId="5" fillId="0" borderId="8" xfId="0" applyNumberFormat="1" applyFont="1" applyFill="1" applyBorder="1" applyAlignment="1">
      <alignment vertical="center" wrapText="1" readingOrder="1"/>
    </xf>
    <xf numFmtId="4" fontId="4" fillId="0" borderId="9" xfId="0" applyNumberFormat="1" applyFont="1" applyFill="1" applyBorder="1" applyAlignment="1">
      <alignment vertical="center" wrapText="1" readingOrder="1"/>
    </xf>
    <xf numFmtId="4" fontId="4" fillId="0" borderId="11" xfId="0" applyNumberFormat="1" applyFont="1" applyFill="1" applyBorder="1" applyAlignment="1">
      <alignment vertical="center" wrapText="1" readingOrder="1"/>
    </xf>
    <xf numFmtId="0" fontId="4" fillId="2" borderId="41" xfId="0" applyFont="1" applyFill="1" applyBorder="1" applyAlignment="1">
      <alignment vertical="center" wrapText="1" readingOrder="1"/>
    </xf>
    <xf numFmtId="0" fontId="5" fillId="2" borderId="26" xfId="0" applyFont="1" applyFill="1" applyBorder="1" applyAlignment="1">
      <alignment vertical="center" wrapText="1" readingOrder="1"/>
    </xf>
    <xf numFmtId="4" fontId="4" fillId="2" borderId="27" xfId="0" applyNumberFormat="1" applyFont="1" applyFill="1" applyBorder="1" applyAlignment="1">
      <alignment vertical="center" wrapText="1" readingOrder="1"/>
    </xf>
    <xf numFmtId="4" fontId="4" fillId="2" borderId="28" xfId="0" applyNumberFormat="1" applyFont="1" applyFill="1" applyBorder="1" applyAlignment="1">
      <alignment vertical="center" wrapText="1" readingOrder="1"/>
    </xf>
    <xf numFmtId="4" fontId="4" fillId="2" borderId="29" xfId="0" applyNumberFormat="1" applyFont="1" applyFill="1" applyBorder="1" applyAlignment="1">
      <alignment vertical="center" wrapText="1" readingOrder="1"/>
    </xf>
    <xf numFmtId="0" fontId="4" fillId="0" borderId="42" xfId="0" applyFont="1" applyFill="1" applyBorder="1" applyAlignment="1">
      <alignment vertical="center" wrapText="1" readingOrder="1"/>
    </xf>
    <xf numFmtId="0" fontId="5" fillId="0" borderId="21" xfId="0" applyFont="1" applyFill="1" applyBorder="1" applyAlignment="1">
      <alignment vertical="center" wrapText="1" readingOrder="1"/>
    </xf>
    <xf numFmtId="4" fontId="5" fillId="0" borderId="22" xfId="0" applyNumberFormat="1" applyFont="1" applyFill="1" applyBorder="1" applyAlignment="1">
      <alignment vertical="center" wrapText="1" readingOrder="1"/>
    </xf>
    <xf numFmtId="4" fontId="5" fillId="0" borderId="23" xfId="0" applyNumberFormat="1" applyFont="1" applyFill="1" applyBorder="1" applyAlignment="1">
      <alignment vertical="center" wrapText="1" readingOrder="1"/>
    </xf>
    <xf numFmtId="4" fontId="5" fillId="0" borderId="24" xfId="0" applyNumberFormat="1" applyFont="1" applyFill="1" applyBorder="1" applyAlignment="1">
      <alignment vertical="center" wrapText="1" readingOrder="1"/>
    </xf>
    <xf numFmtId="0" fontId="5" fillId="0" borderId="40" xfId="0" applyFont="1" applyFill="1" applyBorder="1" applyAlignment="1">
      <alignment vertical="center" wrapText="1" readingOrder="1"/>
    </xf>
    <xf numFmtId="4" fontId="5" fillId="0" borderId="8" xfId="0" applyNumberFormat="1" applyFont="1" applyFill="1" applyBorder="1" applyAlignment="1">
      <alignment vertical="center" wrapText="1" readingOrder="1"/>
    </xf>
    <xf numFmtId="4" fontId="5" fillId="0" borderId="9" xfId="0" applyNumberFormat="1" applyFont="1" applyFill="1" applyBorder="1" applyAlignment="1">
      <alignment vertical="center" wrapText="1" readingOrder="1"/>
    </xf>
    <xf numFmtId="4" fontId="5" fillId="0" borderId="11" xfId="0" applyNumberFormat="1" applyFont="1" applyFill="1" applyBorder="1" applyAlignment="1">
      <alignment vertical="center" wrapText="1" readingOrder="1"/>
    </xf>
    <xf numFmtId="0" fontId="4" fillId="2" borderId="41" xfId="0" applyFont="1" applyFill="1" applyBorder="1" applyAlignment="1">
      <alignment vertical="center" wrapText="1" readingOrder="1"/>
    </xf>
    <xf numFmtId="4" fontId="5" fillId="0" borderId="39" xfId="0" applyNumberFormat="1" applyFont="1" applyFill="1" applyBorder="1" applyAlignment="1">
      <alignment vertical="center" wrapText="1" readingOrder="1"/>
    </xf>
    <xf numFmtId="4" fontId="5" fillId="0" borderId="5" xfId="0" applyNumberFormat="1" applyFont="1" applyFill="1" applyBorder="1" applyAlignment="1">
      <alignment vertical="center" wrapText="1" readingOrder="1"/>
    </xf>
    <xf numFmtId="4" fontId="5" fillId="0" borderId="6" xfId="0" applyNumberFormat="1" applyFont="1" applyFill="1" applyBorder="1" applyAlignment="1">
      <alignment vertical="center" wrapText="1" readingOrder="1"/>
    </xf>
    <xf numFmtId="4" fontId="5" fillId="2" borderId="27" xfId="0" applyNumberFormat="1" applyFont="1" applyFill="1" applyBorder="1" applyAlignment="1">
      <alignment vertical="center" wrapText="1" readingOrder="1"/>
    </xf>
    <xf numFmtId="0" fontId="4" fillId="2" borderId="30" xfId="0" applyFont="1" applyFill="1" applyBorder="1" applyAlignment="1">
      <alignment vertical="center" wrapText="1" readingOrder="1"/>
    </xf>
    <xf numFmtId="0" fontId="5" fillId="2" borderId="20" xfId="0" applyFont="1" applyFill="1" applyBorder="1" applyAlignment="1">
      <alignment vertical="center" wrapText="1" readingOrder="1"/>
    </xf>
    <xf numFmtId="4" fontId="4" fillId="2" borderId="17" xfId="0" applyNumberFormat="1" applyFont="1" applyFill="1" applyBorder="1" applyAlignment="1">
      <alignment vertical="center" wrapText="1" readingOrder="1"/>
    </xf>
    <xf numFmtId="4" fontId="4" fillId="2" borderId="18" xfId="0" applyNumberFormat="1" applyFont="1" applyFill="1" applyBorder="1" applyAlignment="1">
      <alignment vertical="center" wrapText="1" readingOrder="1"/>
    </xf>
    <xf numFmtId="4" fontId="4" fillId="2" borderId="19" xfId="0" applyNumberFormat="1" applyFont="1" applyFill="1" applyBorder="1" applyAlignment="1">
      <alignment vertical="center" wrapText="1" readingOrder="1"/>
    </xf>
    <xf numFmtId="0" fontId="2" fillId="2" borderId="43" xfId="0" applyFont="1" applyFill="1" applyBorder="1">
      <alignment vertical="center"/>
    </xf>
    <xf numFmtId="0" fontId="5" fillId="2" borderId="33" xfId="0" applyFont="1" applyFill="1" applyBorder="1" applyAlignment="1">
      <alignment vertical="center" wrapText="1" readingOrder="1"/>
    </xf>
    <xf numFmtId="4" fontId="2" fillId="2" borderId="44" xfId="0" applyNumberFormat="1" applyFont="1" applyFill="1" applyBorder="1">
      <alignment vertical="center"/>
    </xf>
    <xf numFmtId="4" fontId="2" fillId="2" borderId="45" xfId="0" applyNumberFormat="1" applyFont="1" applyFill="1" applyBorder="1">
      <alignment vertical="center"/>
    </xf>
    <xf numFmtId="4" fontId="2" fillId="2" borderId="46" xfId="0" applyNumberFormat="1" applyFont="1" applyFill="1" applyBorder="1">
      <alignment vertical="center"/>
    </xf>
    <xf numFmtId="0" fontId="2" fillId="3" borderId="30" xfId="0" applyFont="1" applyFill="1" applyBorder="1">
      <alignment vertical="center"/>
    </xf>
    <xf numFmtId="176" fontId="3" fillId="3" borderId="20" xfId="0" applyNumberFormat="1" applyFont="1" applyFill="1" applyBorder="1">
      <alignment vertical="center"/>
    </xf>
    <xf numFmtId="4" fontId="2" fillId="3" borderId="17" xfId="0" applyNumberFormat="1" applyFont="1" applyFill="1" applyBorder="1">
      <alignment vertical="center"/>
    </xf>
    <xf numFmtId="43" fontId="2" fillId="3" borderId="18" xfId="0" applyNumberFormat="1" applyFont="1" applyFill="1" applyBorder="1">
      <alignment vertical="center"/>
    </xf>
    <xf numFmtId="43" fontId="2" fillId="4" borderId="18" xfId="0" applyNumberFormat="1" applyFont="1" applyFill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43" fontId="3" fillId="0" borderId="28" xfId="0" applyNumberFormat="1" applyFont="1" applyBorder="1">
      <alignment vertical="center"/>
    </xf>
    <xf numFmtId="10" fontId="3" fillId="0" borderId="29" xfId="3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179" fontId="3" fillId="0" borderId="0" xfId="0" applyNumberFormat="1" applyFo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76" fontId="3" fillId="0" borderId="22" xfId="0" applyNumberFormat="1" applyFont="1" applyBorder="1" applyAlignment="1">
      <alignment vertical="center" wrapText="1"/>
    </xf>
    <xf numFmtId="176" fontId="3" fillId="0" borderId="24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176" fontId="3" fillId="0" borderId="29" xfId="0" applyNumberFormat="1" applyFont="1" applyBorder="1" applyAlignment="1">
      <alignment horizontal="center" vertical="center"/>
    </xf>
    <xf numFmtId="176" fontId="3" fillId="0" borderId="22" xfId="0" applyNumberFormat="1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showGridLines="0" tabSelected="1" zoomScale="60" zoomScaleNormal="60" workbookViewId="0">
      <selection activeCell="F39" sqref="F39"/>
    </sheetView>
  </sheetViews>
  <sheetFormatPr defaultColWidth="9.02654867256637" defaultRowHeight="13.5"/>
  <cols>
    <col min="1" max="1" width="27.5486725663717" customWidth="1"/>
    <col min="2" max="2" width="38.9646017699115" customWidth="1"/>
    <col min="3" max="3" width="13.1061946902655" customWidth="1"/>
    <col min="4" max="4" width="15.929203539823" customWidth="1"/>
    <col min="5" max="5" width="18.3893805309735" customWidth="1"/>
    <col min="6" max="8" width="15.929203539823" customWidth="1"/>
    <col min="9" max="10" width="14.8053097345133" customWidth="1"/>
    <col min="11" max="12" width="13.6106194690265" customWidth="1"/>
    <col min="13" max="13" width="14.8053097345133" customWidth="1"/>
  </cols>
  <sheetData>
    <row r="1" customFormat="1" ht="13.85" spans="1:13">
      <c r="A1" s="133" t="s">
        <v>0</v>
      </c>
      <c r="B1" s="133" t="s">
        <v>1</v>
      </c>
    </row>
    <row r="2" customFormat="1" spans="1:13">
      <c r="A2" s="134" t="s">
        <v>2</v>
      </c>
      <c r="B2" s="135">
        <v>0.065</v>
      </c>
    </row>
    <row r="3" customFormat="1" spans="1:13">
      <c r="A3" s="134" t="s">
        <v>3</v>
      </c>
      <c r="B3" s="136">
        <v>5</v>
      </c>
    </row>
    <row r="4" customFormat="1" spans="1:13">
      <c r="A4" s="134" t="s">
        <v>4</v>
      </c>
      <c r="B4" s="136">
        <v>10</v>
      </c>
    </row>
    <row r="5" customFormat="1" spans="1:13">
      <c r="A5" s="134" t="s">
        <v>5</v>
      </c>
      <c r="B5" s="136">
        <v>50</v>
      </c>
    </row>
    <row r="6" customFormat="1" spans="1:13">
      <c r="A6" s="134" t="s">
        <v>6</v>
      </c>
      <c r="B6" s="136">
        <v>100</v>
      </c>
    </row>
    <row r="7" customFormat="1" spans="1:13">
      <c r="A7" s="134" t="s">
        <v>7</v>
      </c>
      <c r="B7" s="136">
        <v>10</v>
      </c>
    </row>
    <row r="8" customFormat="1" ht="13.85" spans="1:13">
      <c r="A8" s="29"/>
    </row>
    <row r="9" customFormat="1" ht="14.6" spans="1:13">
      <c r="A9" s="29" t="s">
        <v>8</v>
      </c>
    </row>
    <row r="10" s="132" customFormat="1" ht="28.5" spans="1:13">
      <c r="A10" s="137" t="s">
        <v>9</v>
      </c>
      <c r="B10" s="138" t="s">
        <v>10</v>
      </c>
      <c r="C10" s="139" t="s">
        <v>11</v>
      </c>
      <c r="D10" s="140" t="s">
        <v>12</v>
      </c>
      <c r="E10" s="140" t="s">
        <v>13</v>
      </c>
      <c r="F10" s="140" t="s">
        <v>14</v>
      </c>
      <c r="G10" s="140" t="s">
        <v>15</v>
      </c>
      <c r="H10" s="140" t="s">
        <v>16</v>
      </c>
      <c r="I10" s="140" t="s">
        <v>17</v>
      </c>
      <c r="J10" s="140" t="s">
        <v>18</v>
      </c>
      <c r="K10" s="140" t="s">
        <v>19</v>
      </c>
      <c r="L10" s="140" t="s">
        <v>20</v>
      </c>
      <c r="M10" s="141" t="s">
        <v>21</v>
      </c>
    </row>
    <row r="11" ht="13.9" spans="1:13">
      <c r="A11" s="142" t="s">
        <v>22</v>
      </c>
      <c r="B11" s="143"/>
      <c r="C11" s="144"/>
      <c r="D11" s="145"/>
      <c r="E11" s="145"/>
      <c r="F11" s="145"/>
      <c r="G11" s="145"/>
      <c r="H11" s="145"/>
      <c r="I11" s="145"/>
      <c r="J11" s="145"/>
      <c r="K11" s="145"/>
      <c r="L11" s="145"/>
      <c r="M11" s="146"/>
    </row>
    <row r="12" ht="13.85" spans="1:13">
      <c r="A12" s="147" t="s">
        <v>23</v>
      </c>
      <c r="B12" s="148" t="s">
        <v>24</v>
      </c>
      <c r="C12" s="149">
        <f>CAPEX!E3*SUM(B3:B4)</f>
        <v>270000</v>
      </c>
      <c r="D12" s="150"/>
      <c r="E12" s="150"/>
      <c r="F12" s="150"/>
      <c r="G12" s="150"/>
      <c r="H12" s="150"/>
      <c r="I12" s="150"/>
      <c r="J12" s="150"/>
      <c r="K12" s="150"/>
      <c r="L12" s="150"/>
      <c r="M12" s="151"/>
    </row>
    <row r="13" ht="13.85" spans="1:13">
      <c r="A13" s="147" t="s">
        <v>25</v>
      </c>
      <c r="B13" s="148" t="s">
        <v>24</v>
      </c>
      <c r="C13" s="149">
        <f>CAPEX!E4*B5</f>
        <v>225000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1"/>
    </row>
    <row r="14" ht="14.65" spans="1:13">
      <c r="A14" s="152" t="s">
        <v>26</v>
      </c>
      <c r="B14" s="153"/>
      <c r="C14" s="154">
        <f>SUM(C12:C13)</f>
        <v>495000</v>
      </c>
      <c r="D14" s="155"/>
      <c r="E14" s="155"/>
      <c r="F14" s="155"/>
      <c r="G14" s="155"/>
      <c r="H14" s="155"/>
      <c r="I14" s="155"/>
      <c r="J14" s="155"/>
      <c r="K14" s="155"/>
      <c r="L14" s="155"/>
      <c r="M14" s="156"/>
    </row>
    <row r="15" ht="13.9" spans="1:13">
      <c r="A15" s="157" t="s">
        <v>27</v>
      </c>
      <c r="B15" s="158"/>
      <c r="C15" s="159"/>
      <c r="D15" s="160"/>
      <c r="E15" s="160"/>
      <c r="F15" s="160"/>
      <c r="G15" s="160"/>
      <c r="H15" s="160"/>
      <c r="I15" s="160"/>
      <c r="J15" s="160"/>
      <c r="K15" s="160"/>
      <c r="L15" s="160"/>
      <c r="M15" s="161"/>
    </row>
    <row r="16" ht="27" spans="1:13">
      <c r="A16" s="162" t="s">
        <v>28</v>
      </c>
      <c r="B16" s="148" t="s">
        <v>29</v>
      </c>
      <c r="C16" s="163"/>
      <c r="D16" s="164">
        <f>Revenue!$H$6</f>
        <v>15731.1</v>
      </c>
      <c r="E16" s="164">
        <f>Revenue!$H$6</f>
        <v>15731.1</v>
      </c>
      <c r="F16" s="164">
        <f>Revenue!$H$6</f>
        <v>15731.1</v>
      </c>
      <c r="G16" s="164">
        <f>Revenue!$H$6</f>
        <v>15731.1</v>
      </c>
      <c r="H16" s="164">
        <f>Revenue!$H$6</f>
        <v>15731.1</v>
      </c>
      <c r="I16" s="164">
        <f>Revenue!$H$6</f>
        <v>15731.1</v>
      </c>
      <c r="J16" s="164">
        <f>Revenue!$H$6</f>
        <v>15731.1</v>
      </c>
      <c r="K16" s="164">
        <f>Revenue!$H$6</f>
        <v>15731.1</v>
      </c>
      <c r="L16" s="164">
        <f>Revenue!$H$6</f>
        <v>15731.1</v>
      </c>
      <c r="M16" s="165">
        <f>Revenue!$H$6</f>
        <v>15731.1</v>
      </c>
    </row>
    <row r="17" ht="27" spans="1:13">
      <c r="A17" s="162" t="s">
        <v>30</v>
      </c>
      <c r="B17" s="148" t="s">
        <v>31</v>
      </c>
      <c r="C17" s="163"/>
      <c r="D17" s="164">
        <f>Revenue!$I$6</f>
        <v>72334.08</v>
      </c>
      <c r="E17" s="164">
        <f>Revenue!$I$6</f>
        <v>72334.08</v>
      </c>
      <c r="F17" s="164">
        <f>Revenue!$I$6</f>
        <v>72334.08</v>
      </c>
      <c r="G17" s="164">
        <f>Revenue!$I$6</f>
        <v>72334.08</v>
      </c>
      <c r="H17" s="164">
        <f>Revenue!$I$6</f>
        <v>72334.08</v>
      </c>
      <c r="I17" s="164">
        <f>Revenue!$I$6</f>
        <v>72334.08</v>
      </c>
      <c r="J17" s="164">
        <f>Revenue!$I$6</f>
        <v>72334.08</v>
      </c>
      <c r="K17" s="164">
        <f>Revenue!$I$6</f>
        <v>72334.08</v>
      </c>
      <c r="L17" s="164">
        <f>Revenue!$I$6</f>
        <v>72334.08</v>
      </c>
      <c r="M17" s="165">
        <f>Revenue!$I$6</f>
        <v>72334.08</v>
      </c>
    </row>
    <row r="18" spans="1:13">
      <c r="A18" s="162" t="s">
        <v>32</v>
      </c>
      <c r="B18" s="148" t="s">
        <v>33</v>
      </c>
      <c r="C18" s="163"/>
      <c r="D18" s="164">
        <f>Revenue!$J$6</f>
        <v>56929.6</v>
      </c>
      <c r="E18" s="164">
        <f>Revenue!$J$6</f>
        <v>56929.6</v>
      </c>
      <c r="F18" s="164">
        <f>Revenue!$J$6</f>
        <v>56929.6</v>
      </c>
      <c r="G18" s="164">
        <f>Revenue!$J$6</f>
        <v>56929.6</v>
      </c>
      <c r="H18" s="164">
        <f>Revenue!$J$6</f>
        <v>56929.6</v>
      </c>
      <c r="I18" s="164">
        <f>Revenue!$J$6</f>
        <v>56929.6</v>
      </c>
      <c r="J18" s="164">
        <f>Revenue!$J$6</f>
        <v>56929.6</v>
      </c>
      <c r="K18" s="164">
        <f>Revenue!$J$6</f>
        <v>56929.6</v>
      </c>
      <c r="L18" s="164">
        <f>Revenue!$J$6</f>
        <v>56929.6</v>
      </c>
      <c r="M18" s="165">
        <f>Revenue!$J$6</f>
        <v>56929.6</v>
      </c>
    </row>
    <row r="19" ht="14.65" spans="1:13">
      <c r="A19" s="166" t="s">
        <v>34</v>
      </c>
      <c r="B19" s="153"/>
      <c r="C19" s="154"/>
      <c r="D19" s="155">
        <f t="shared" ref="D19:M19" si="0">SUM(D16:D18)</f>
        <v>144994.78</v>
      </c>
      <c r="E19" s="155">
        <f t="shared" si="0"/>
        <v>144994.78</v>
      </c>
      <c r="F19" s="155">
        <f t="shared" si="0"/>
        <v>144994.78</v>
      </c>
      <c r="G19" s="155">
        <f t="shared" si="0"/>
        <v>144994.78</v>
      </c>
      <c r="H19" s="155">
        <f t="shared" si="0"/>
        <v>144994.78</v>
      </c>
      <c r="I19" s="155">
        <f t="shared" si="0"/>
        <v>144994.78</v>
      </c>
      <c r="J19" s="155">
        <f t="shared" si="0"/>
        <v>144994.78</v>
      </c>
      <c r="K19" s="155">
        <f t="shared" si="0"/>
        <v>144994.78</v>
      </c>
      <c r="L19" s="155">
        <f t="shared" si="0"/>
        <v>144994.78</v>
      </c>
      <c r="M19" s="156">
        <f t="shared" si="0"/>
        <v>144994.78</v>
      </c>
    </row>
    <row r="20" ht="13.9" spans="1:13">
      <c r="A20" s="142" t="s">
        <v>35</v>
      </c>
      <c r="B20" s="143"/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9"/>
    </row>
    <row r="21" spans="1:13">
      <c r="A21" s="162" t="s">
        <v>36</v>
      </c>
      <c r="B21" s="148" t="s">
        <v>37</v>
      </c>
      <c r="C21" s="163"/>
      <c r="D21" s="164">
        <f>OPEX!$E$6</f>
        <v>38500</v>
      </c>
      <c r="E21" s="164">
        <f>OPEX!$E$6</f>
        <v>38500</v>
      </c>
      <c r="F21" s="164">
        <f>OPEX!$E$6</f>
        <v>38500</v>
      </c>
      <c r="G21" s="164">
        <f>OPEX!$E$6</f>
        <v>38500</v>
      </c>
      <c r="H21" s="164">
        <f>OPEX!$E$6</f>
        <v>38500</v>
      </c>
      <c r="I21" s="164">
        <f>OPEX!$E$6</f>
        <v>38500</v>
      </c>
      <c r="J21" s="164">
        <f>OPEX!$E$6</f>
        <v>38500</v>
      </c>
      <c r="K21" s="164">
        <f>OPEX!$E$6</f>
        <v>38500</v>
      </c>
      <c r="L21" s="164">
        <f>OPEX!$E$6</f>
        <v>38500</v>
      </c>
      <c r="M21" s="165">
        <f>OPEX!$E$6</f>
        <v>38500</v>
      </c>
    </row>
    <row r="22" spans="1:13">
      <c r="A22" s="162" t="s">
        <v>38</v>
      </c>
      <c r="B22" s="148" t="s">
        <v>39</v>
      </c>
      <c r="C22" s="163"/>
      <c r="D22" s="164">
        <f>OPEX!$H$6</f>
        <v>17147.6</v>
      </c>
      <c r="E22" s="164">
        <f>OPEX!$H$6</f>
        <v>17147.6</v>
      </c>
      <c r="F22" s="164">
        <f>OPEX!$H$6</f>
        <v>17147.6</v>
      </c>
      <c r="G22" s="164">
        <f>OPEX!$H$6</f>
        <v>17147.6</v>
      </c>
      <c r="H22" s="164">
        <f>OPEX!$H$6</f>
        <v>17147.6</v>
      </c>
      <c r="I22" s="164">
        <f>OPEX!$H$6</f>
        <v>17147.6</v>
      </c>
      <c r="J22" s="164">
        <f>OPEX!$H$6</f>
        <v>17147.6</v>
      </c>
      <c r="K22" s="164">
        <f>OPEX!$H$6</f>
        <v>17147.6</v>
      </c>
      <c r="L22" s="164">
        <f>OPEX!$H$6</f>
        <v>17147.6</v>
      </c>
      <c r="M22" s="165">
        <f>OPEX!$H$6</f>
        <v>17147.6</v>
      </c>
    </row>
    <row r="23" spans="1:13">
      <c r="A23" s="162" t="s">
        <v>40</v>
      </c>
      <c r="B23" s="148" t="s">
        <v>41</v>
      </c>
      <c r="C23" s="163"/>
      <c r="D23" s="164">
        <f>OPEX!$J$6</f>
        <v>6000</v>
      </c>
      <c r="E23" s="164">
        <f>OPEX!$J$6</f>
        <v>6000</v>
      </c>
      <c r="F23" s="164">
        <f>OPEX!$J$6</f>
        <v>6000</v>
      </c>
      <c r="G23" s="164">
        <f>OPEX!$J$6</f>
        <v>6000</v>
      </c>
      <c r="H23" s="164">
        <f>OPEX!$J$6</f>
        <v>6000</v>
      </c>
      <c r="I23" s="164">
        <f>OPEX!$J$6</f>
        <v>6000</v>
      </c>
      <c r="J23" s="164">
        <f>OPEX!$J$6</f>
        <v>6000</v>
      </c>
      <c r="K23" s="164">
        <f>OPEX!$J$6</f>
        <v>6000</v>
      </c>
      <c r="L23" s="164">
        <f>OPEX!$J$6</f>
        <v>6000</v>
      </c>
      <c r="M23" s="165">
        <f>OPEX!$J$6</f>
        <v>6000</v>
      </c>
    </row>
    <row r="24" ht="14.65" spans="1:13">
      <c r="A24" s="152" t="s">
        <v>42</v>
      </c>
      <c r="B24" s="153"/>
      <c r="C24" s="170"/>
      <c r="D24" s="155">
        <f t="shared" ref="D24:M24" si="1">SUM(D21:D23)</f>
        <v>61647.6</v>
      </c>
      <c r="E24" s="155">
        <f t="shared" si="1"/>
        <v>61647.6</v>
      </c>
      <c r="F24" s="155">
        <f t="shared" si="1"/>
        <v>61647.6</v>
      </c>
      <c r="G24" s="155">
        <f t="shared" si="1"/>
        <v>61647.6</v>
      </c>
      <c r="H24" s="155">
        <f t="shared" si="1"/>
        <v>61647.6</v>
      </c>
      <c r="I24" s="155">
        <f t="shared" si="1"/>
        <v>61647.6</v>
      </c>
      <c r="J24" s="155">
        <f t="shared" si="1"/>
        <v>61647.6</v>
      </c>
      <c r="K24" s="155">
        <f t="shared" si="1"/>
        <v>61647.6</v>
      </c>
      <c r="L24" s="155">
        <f t="shared" si="1"/>
        <v>61647.6</v>
      </c>
      <c r="M24" s="156">
        <f t="shared" si="1"/>
        <v>61647.6</v>
      </c>
    </row>
    <row r="25" ht="14.65" spans="1:13">
      <c r="A25" s="171" t="s">
        <v>43</v>
      </c>
      <c r="B25" s="172" t="s">
        <v>44</v>
      </c>
      <c r="C25" s="173"/>
      <c r="D25" s="174">
        <f t="shared" ref="D25:M25" si="2">D19-D24</f>
        <v>83347.18</v>
      </c>
      <c r="E25" s="174">
        <f t="shared" si="2"/>
        <v>83347.18</v>
      </c>
      <c r="F25" s="174">
        <f t="shared" si="2"/>
        <v>83347.18</v>
      </c>
      <c r="G25" s="174">
        <f t="shared" si="2"/>
        <v>83347.18</v>
      </c>
      <c r="H25" s="174">
        <f t="shared" si="2"/>
        <v>83347.18</v>
      </c>
      <c r="I25" s="174">
        <f t="shared" si="2"/>
        <v>83347.18</v>
      </c>
      <c r="J25" s="174">
        <f t="shared" si="2"/>
        <v>83347.18</v>
      </c>
      <c r="K25" s="174">
        <f t="shared" si="2"/>
        <v>83347.18</v>
      </c>
      <c r="L25" s="174">
        <f t="shared" si="2"/>
        <v>83347.18</v>
      </c>
      <c r="M25" s="175">
        <f t="shared" si="2"/>
        <v>83347.18</v>
      </c>
    </row>
    <row r="26" ht="14.6" spans="1:13">
      <c r="A26" s="176" t="s">
        <v>45</v>
      </c>
      <c r="B26" s="177" t="s">
        <v>46</v>
      </c>
      <c r="C26" s="178"/>
      <c r="D26" s="179">
        <f>D25/(1+$B$2)^1</f>
        <v>78260.2629107981</v>
      </c>
      <c r="E26" s="179">
        <f>E25/(1+$B$2)^2</f>
        <v>73483.8149397166</v>
      </c>
      <c r="F26" s="179">
        <f>F25/(1+$B$2)^3</f>
        <v>68998.8872673395</v>
      </c>
      <c r="G26" s="179">
        <f>G25/(1+$B$2)^4</f>
        <v>64787.6875749667</v>
      </c>
      <c r="H26" s="179">
        <f>H25/(1+$B$2)^5</f>
        <v>60833.5094600626</v>
      </c>
      <c r="I26" s="179">
        <f>I25/(1+$B$2)^6</f>
        <v>57120.6661596832</v>
      </c>
      <c r="J26" s="179">
        <f>J25/(1+$B$2)^7</f>
        <v>53634.4283189514</v>
      </c>
      <c r="K26" s="179">
        <f>K25/(1+$B$2)^8</f>
        <v>50360.9655577008</v>
      </c>
      <c r="L26" s="179">
        <f>L25/(1+$B$2)^9</f>
        <v>47287.2916034749</v>
      </c>
      <c r="M26" s="180">
        <f>M25/(1+$B$2)^10</f>
        <v>44401.2127732159</v>
      </c>
    </row>
    <row r="27" ht="14.6" spans="1:13">
      <c r="A27" s="181" t="s">
        <v>47</v>
      </c>
      <c r="B27" s="182" t="s">
        <v>48</v>
      </c>
      <c r="C27" s="183">
        <f>-C14</f>
        <v>-495000</v>
      </c>
      <c r="D27" s="184">
        <f>SUM($C$27,$D$26:D26)</f>
        <v>-416739.737089202</v>
      </c>
      <c r="E27" s="184">
        <f>SUM($C$27,$D$26:E26)</f>
        <v>-343255.922149485</v>
      </c>
      <c r="F27" s="184">
        <f>SUM($C$27,$D$26:F26)</f>
        <v>-274257.034882146</v>
      </c>
      <c r="G27" s="184">
        <f>SUM($C$27,$D$26:G26)</f>
        <v>-209469.347307179</v>
      </c>
      <c r="H27" s="184">
        <f>SUM($C$27,$D$26:H26)</f>
        <v>-148635.837847117</v>
      </c>
      <c r="I27" s="184">
        <f>SUM($C$27,$D$26:I26)</f>
        <v>-91515.1716874334</v>
      </c>
      <c r="J27" s="184">
        <f>SUM($C$27,$D$26:J26)</f>
        <v>-37880.743368482</v>
      </c>
      <c r="K27" s="185">
        <f>SUM($C$27,$D$26:K26)</f>
        <v>12480.2221892188</v>
      </c>
      <c r="L27" s="184">
        <f>SUM($C$27,$D$26:L26)</f>
        <v>59767.5137926937</v>
      </c>
      <c r="M27" s="184">
        <f>SUM($C$27,$D$26:M26)</f>
        <v>104168.72656591</v>
      </c>
    </row>
    <row r="29" ht="14.6" spans="1:13">
      <c r="A29" s="29" t="s">
        <v>49</v>
      </c>
      <c r="B29" s="32"/>
      <c r="C29" s="32"/>
      <c r="D29" s="32"/>
      <c r="E29" s="32"/>
      <c r="F29" s="32"/>
    </row>
    <row r="30" ht="13.85" spans="1:13">
      <c r="A30" s="186" t="s">
        <v>50</v>
      </c>
      <c r="B30" s="187" t="s">
        <v>51</v>
      </c>
      <c r="C30" s="187" t="s">
        <v>52</v>
      </c>
      <c r="D30" s="187" t="s">
        <v>53</v>
      </c>
      <c r="E30" s="187" t="s">
        <v>54</v>
      </c>
      <c r="F30" s="188" t="s">
        <v>55</v>
      </c>
    </row>
    <row r="31" ht="14.6" spans="1:13">
      <c r="A31" s="189" t="s">
        <v>56</v>
      </c>
      <c r="B31" s="190">
        <f>C14</f>
        <v>495000</v>
      </c>
      <c r="C31" s="190">
        <f>D25</f>
        <v>83347.18</v>
      </c>
      <c r="D31" s="190">
        <v>10</v>
      </c>
      <c r="E31" s="190">
        <f>C31*D31-B31</f>
        <v>338471.8</v>
      </c>
      <c r="F31" s="191">
        <f>E31/B31*100%</f>
        <v>0.683781414141414</v>
      </c>
    </row>
    <row r="32" spans="1:13">
      <c r="A32" s="32"/>
      <c r="B32" s="32"/>
      <c r="C32" s="32"/>
      <c r="D32" s="32"/>
      <c r="E32" s="32"/>
      <c r="F32" s="32"/>
    </row>
    <row r="33" ht="14.6" spans="1:6">
      <c r="A33" s="29" t="s">
        <v>57</v>
      </c>
      <c r="B33" s="32"/>
      <c r="C33" s="32"/>
      <c r="D33" s="32"/>
      <c r="E33" s="32"/>
      <c r="F33" s="32"/>
    </row>
    <row r="34" ht="13.85" spans="1:6">
      <c r="A34" s="186" t="s">
        <v>50</v>
      </c>
      <c r="B34" s="188" t="s">
        <v>55</v>
      </c>
      <c r="C34" s="192"/>
      <c r="D34" s="29"/>
      <c r="F34" s="32"/>
    </row>
    <row r="35" ht="14.6" spans="1:6">
      <c r="A35" s="189" t="s">
        <v>58</v>
      </c>
      <c r="B35" s="191">
        <f>10.7997%</f>
        <v>0.107997</v>
      </c>
      <c r="C35" s="32"/>
      <c r="D35" s="193"/>
      <c r="F35" s="32"/>
    </row>
    <row r="37" ht="14.6" spans="1:6">
      <c r="A37" s="29" t="s">
        <v>59</v>
      </c>
    </row>
    <row r="38" ht="14.6" spans="1:6">
      <c r="A38" s="194" t="s">
        <v>60</v>
      </c>
      <c r="B38" s="195" t="s">
        <v>61</v>
      </c>
      <c r="C38" s="196" t="s">
        <v>62</v>
      </c>
    </row>
    <row r="39" ht="40.5" spans="1:6">
      <c r="A39" s="197" t="s">
        <v>63</v>
      </c>
      <c r="B39" s="203" t="s">
        <v>64</v>
      </c>
      <c r="C39" s="199">
        <f>$C$14/$D$25</f>
        <v>5.93901317357108</v>
      </c>
    </row>
    <row r="40" ht="41.25" spans="1:6">
      <c r="A40" s="200" t="s">
        <v>65</v>
      </c>
      <c r="B40" s="201" t="s">
        <v>66</v>
      </c>
      <c r="C40" s="202">
        <f>7+(-J27/K26)</f>
        <v>7.75218461260597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E9" sqref="E9"/>
    </sheetView>
  </sheetViews>
  <sheetFormatPr defaultColWidth="9.02654867256637" defaultRowHeight="13.5" outlineLevelRow="6"/>
  <cols>
    <col min="1" max="1" width="31.8495575221239" customWidth="1"/>
    <col min="2" max="4" width="9.09734513274336" customWidth="1"/>
    <col min="5" max="5" width="12.6814159292035" customWidth="1"/>
    <col min="6" max="6" width="15.0088495575221" customWidth="1"/>
    <col min="7" max="7" width="11.0265486725664" customWidth="1"/>
    <col min="8" max="8" width="10.5929203539823" customWidth="1"/>
    <col min="9" max="9" width="12.283185840708" customWidth="1"/>
    <col min="10" max="10" width="11.2212389380531" customWidth="1"/>
    <col min="11" max="11" width="11.7256637168142" customWidth="1"/>
  </cols>
  <sheetData>
    <row r="1" ht="14.25" spans="1:11">
      <c r="A1" s="110" t="s">
        <v>67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="1" customFormat="1" ht="70.15" spans="1:11">
      <c r="A2" s="111" t="s">
        <v>68</v>
      </c>
      <c r="B2" s="39" t="s">
        <v>69</v>
      </c>
      <c r="C2" s="26" t="s">
        <v>70</v>
      </c>
      <c r="D2" s="26" t="s">
        <v>71</v>
      </c>
      <c r="E2" s="26" t="s">
        <v>72</v>
      </c>
      <c r="F2" s="26" t="s">
        <v>73</v>
      </c>
      <c r="G2" s="26" t="s">
        <v>74</v>
      </c>
      <c r="H2" s="26" t="s">
        <v>75</v>
      </c>
      <c r="I2" s="26" t="s">
        <v>76</v>
      </c>
      <c r="J2" s="26" t="s">
        <v>77</v>
      </c>
      <c r="K2" s="112" t="s">
        <v>78</v>
      </c>
    </row>
    <row r="3" spans="1:11">
      <c r="A3" s="113" t="s">
        <v>79</v>
      </c>
      <c r="B3" s="66">
        <v>60</v>
      </c>
      <c r="C3" s="67">
        <v>5</v>
      </c>
      <c r="D3" s="114">
        <v>10</v>
      </c>
      <c r="E3" s="114">
        <f>'Revenue-Arbitrage'!G3</f>
        <v>368.35</v>
      </c>
      <c r="F3" s="114">
        <f>'Revenue-Ancilary Service'!H3</f>
        <v>1814.4</v>
      </c>
      <c r="G3" s="114">
        <f>'Revenue-DR'!I3</f>
        <v>1428</v>
      </c>
      <c r="H3" s="69">
        <f>D3*'Revenue-Arbitrage'!G3</f>
        <v>3683.5</v>
      </c>
      <c r="I3" s="69">
        <f>D3*'Revenue-Ancilary Service'!$H$3</f>
        <v>18144</v>
      </c>
      <c r="J3" s="69">
        <f>D3*'Revenue-DR'!I3</f>
        <v>14280</v>
      </c>
      <c r="K3" s="70">
        <f>SUM(H3:J3)</f>
        <v>36107.5</v>
      </c>
    </row>
    <row r="4" spans="1:11">
      <c r="A4" s="115" t="s">
        <v>80</v>
      </c>
      <c r="B4" s="116">
        <v>60</v>
      </c>
      <c r="C4" s="117">
        <v>10</v>
      </c>
      <c r="D4" s="118">
        <v>20</v>
      </c>
      <c r="E4" s="118">
        <f>'Revenue-Arbitrage'!G5</f>
        <v>398.98</v>
      </c>
      <c r="F4" s="118">
        <f>'Revenue-Ancilary Service'!H3</f>
        <v>1814.4</v>
      </c>
      <c r="G4" s="118">
        <f>'Revenue-DR'!I3</f>
        <v>1428</v>
      </c>
      <c r="H4" s="119">
        <f>D4*'Revenue-Arbitrage'!G5</f>
        <v>7979.6</v>
      </c>
      <c r="I4" s="119">
        <f>D4*'Revenue-Ancilary Service'!$H$3</f>
        <v>36288</v>
      </c>
      <c r="J4" s="119">
        <f>D4*'Revenue-DR'!I3</f>
        <v>28560</v>
      </c>
      <c r="K4" s="120">
        <f>SUM(H4:J4)</f>
        <v>72827.6</v>
      </c>
    </row>
    <row r="5" spans="1:11">
      <c r="A5" s="115" t="s">
        <v>81</v>
      </c>
      <c r="B5" s="116">
        <v>7.4</v>
      </c>
      <c r="C5" s="117">
        <v>50</v>
      </c>
      <c r="D5" s="118">
        <v>80</v>
      </c>
      <c r="E5" s="118">
        <f>'Revenue-Arbitrage'!G7</f>
        <v>50.85</v>
      </c>
      <c r="F5" s="118">
        <f>'Revenue-Ancilary Service'!H4</f>
        <v>223.776</v>
      </c>
      <c r="G5" s="118">
        <f>'Revenue-DR'!I4</f>
        <v>176.12</v>
      </c>
      <c r="H5" s="119">
        <f>D5*'Revenue-Arbitrage'!G7</f>
        <v>4068</v>
      </c>
      <c r="I5" s="119">
        <f>D5*'Revenue-Ancilary Service'!H4</f>
        <v>17902.08</v>
      </c>
      <c r="J5" s="119">
        <f>D5*'Revenue-DR'!I4</f>
        <v>14089.6</v>
      </c>
      <c r="K5" s="120">
        <f>SUM(H5:J5)</f>
        <v>36059.68</v>
      </c>
    </row>
    <row r="6" ht="13.85" spans="1:11">
      <c r="A6" s="121" t="s">
        <v>82</v>
      </c>
      <c r="B6" s="122"/>
      <c r="C6" s="123"/>
      <c r="D6" s="124"/>
      <c r="E6" s="124"/>
      <c r="F6" s="124"/>
      <c r="G6" s="124"/>
      <c r="H6" s="125">
        <f>SUM(H3:H5)</f>
        <v>15731.1</v>
      </c>
      <c r="I6" s="125">
        <f>SUM(I3:I5)</f>
        <v>72334.08</v>
      </c>
      <c r="J6" s="125">
        <f>SUM(J3:J5)</f>
        <v>56929.6</v>
      </c>
      <c r="K6" s="126">
        <f>SUM(H6:J6)</f>
        <v>144994.78</v>
      </c>
    </row>
    <row r="7" ht="14.6" spans="1:11">
      <c r="A7" s="127" t="s">
        <v>83</v>
      </c>
      <c r="B7" s="128"/>
      <c r="C7" s="129"/>
      <c r="D7" s="129"/>
      <c r="E7" s="129"/>
      <c r="F7" s="129"/>
      <c r="G7" s="129"/>
      <c r="H7" s="129">
        <f>H6*50%</f>
        <v>7865.55</v>
      </c>
      <c r="I7" s="129">
        <f>I6*50%</f>
        <v>36167.04</v>
      </c>
      <c r="J7" s="130">
        <f>J6*50%</f>
        <v>28464.8</v>
      </c>
      <c r="K7" s="131">
        <f>SUM(H7:J7)</f>
        <v>72497.39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F19" sqref="F19"/>
    </sheetView>
  </sheetViews>
  <sheetFormatPr defaultColWidth="9.02654867256637" defaultRowHeight="13.5" outlineLevelRow="7"/>
  <cols>
    <col min="1" max="1" width="8.83185840707965" style="30" customWidth="1"/>
    <col min="2" max="2" width="11.1504424778761" style="30" customWidth="1"/>
    <col min="3" max="4" width="10.9557522123894" style="30" customWidth="1"/>
    <col min="5" max="5" width="12.3451327433628" style="30" customWidth="1"/>
    <col min="6" max="6" width="9.29203539823009" style="30" customWidth="1"/>
    <col min="7" max="7" width="12.7433628318584" style="30" customWidth="1"/>
    <col min="8" max="8" width="21.8407079646018" style="30" customWidth="1"/>
    <col min="9" max="9" width="16.2654867256637" style="30" customWidth="1"/>
    <col min="10" max="16384" width="9.02654867256637" style="30"/>
  </cols>
  <sheetData>
    <row r="1" s="33" customFormat="1" ht="14.6" spans="1:9">
      <c r="A1" s="56" t="s">
        <v>84</v>
      </c>
      <c r="B1" s="57"/>
      <c r="C1" s="57"/>
      <c r="D1" s="57"/>
      <c r="E1" s="57"/>
      <c r="F1" s="57"/>
      <c r="G1" s="57"/>
      <c r="H1" s="58"/>
      <c r="I1" s="59"/>
    </row>
    <row r="2" s="54" customFormat="1" ht="42.4" spans="1:9">
      <c r="A2" s="81" t="s">
        <v>68</v>
      </c>
      <c r="B2" s="82" t="s">
        <v>85</v>
      </c>
      <c r="C2" s="83" t="s">
        <v>86</v>
      </c>
      <c r="D2" s="83" t="s">
        <v>87</v>
      </c>
      <c r="E2" s="84" t="s">
        <v>88</v>
      </c>
      <c r="F2" s="84" t="s">
        <v>89</v>
      </c>
      <c r="G2" s="84" t="s">
        <v>90</v>
      </c>
      <c r="H2" s="83" t="s">
        <v>91</v>
      </c>
      <c r="I2" s="85" t="s">
        <v>92</v>
      </c>
    </row>
    <row r="3" ht="27" spans="1:9">
      <c r="A3" s="86" t="s">
        <v>93</v>
      </c>
      <c r="B3" s="87" t="s">
        <v>94</v>
      </c>
      <c r="C3" s="88" t="s">
        <v>95</v>
      </c>
      <c r="D3" s="88" t="s">
        <v>96</v>
      </c>
      <c r="E3" s="89">
        <v>0.067</v>
      </c>
      <c r="F3" s="90">
        <v>1.05</v>
      </c>
      <c r="G3" s="91">
        <v>368.35</v>
      </c>
      <c r="H3" s="92" t="s">
        <v>97</v>
      </c>
      <c r="I3" s="93" t="s">
        <v>98</v>
      </c>
    </row>
    <row r="4" ht="27" spans="1:9">
      <c r="A4" s="94" t="s">
        <v>99</v>
      </c>
      <c r="B4" s="95" t="s">
        <v>100</v>
      </c>
      <c r="C4" s="96" t="s">
        <v>101</v>
      </c>
      <c r="D4" s="96" t="s">
        <v>96</v>
      </c>
      <c r="E4" s="97">
        <v>0.0013</v>
      </c>
      <c r="F4" s="98">
        <v>0.25</v>
      </c>
      <c r="G4" s="99">
        <v>88.59</v>
      </c>
      <c r="H4" s="100" t="s">
        <v>102</v>
      </c>
      <c r="I4" s="101"/>
    </row>
    <row r="5" spans="1:9">
      <c r="A5" s="94" t="s">
        <v>103</v>
      </c>
      <c r="B5" s="95" t="s">
        <v>104</v>
      </c>
      <c r="C5" s="96" t="s">
        <v>101</v>
      </c>
      <c r="D5" s="96" t="s">
        <v>96</v>
      </c>
      <c r="E5" s="97">
        <v>0.0307</v>
      </c>
      <c r="F5" s="98">
        <v>1.14</v>
      </c>
      <c r="G5" s="99">
        <v>398.98</v>
      </c>
      <c r="H5" s="100" t="s">
        <v>102</v>
      </c>
      <c r="I5" s="101" t="s">
        <v>98</v>
      </c>
    </row>
    <row r="6" ht="27.75" spans="1:9">
      <c r="A6" s="102" t="s">
        <v>105</v>
      </c>
      <c r="B6" s="103" t="s">
        <v>104</v>
      </c>
      <c r="C6" s="104" t="s">
        <v>95</v>
      </c>
      <c r="D6" s="104" t="s">
        <v>96</v>
      </c>
      <c r="E6" s="105">
        <v>0.0701</v>
      </c>
      <c r="F6" s="106">
        <v>0.17</v>
      </c>
      <c r="G6" s="107">
        <v>61.57</v>
      </c>
      <c r="H6" s="108" t="s">
        <v>106</v>
      </c>
      <c r="I6" s="109"/>
    </row>
    <row r="7" ht="27.75" spans="1:9">
      <c r="A7" s="102" t="s">
        <v>107</v>
      </c>
      <c r="B7" s="103" t="s">
        <v>104</v>
      </c>
      <c r="C7" s="104" t="s">
        <v>95</v>
      </c>
      <c r="D7" s="104" t="s">
        <v>108</v>
      </c>
      <c r="E7" s="105">
        <v>0.0185</v>
      </c>
      <c r="F7" s="106">
        <v>0.15</v>
      </c>
      <c r="G7" s="107">
        <v>50.85</v>
      </c>
      <c r="H7" s="108" t="s">
        <v>106</v>
      </c>
      <c r="I7" s="109" t="s">
        <v>98</v>
      </c>
    </row>
    <row r="8" spans="1:9">
      <c r="A8"/>
      <c r="B8"/>
      <c r="C8"/>
      <c r="D8"/>
      <c r="E8"/>
      <c r="F8"/>
      <c r="G8"/>
      <c r="H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F19" sqref="F19"/>
    </sheetView>
  </sheetViews>
  <sheetFormatPr defaultColWidth="9.02654867256637" defaultRowHeight="13.5" outlineLevelCol="7"/>
  <cols>
    <col min="3" max="3" width="13.9469026548673" customWidth="1"/>
    <col min="4" max="4" width="12.3451327433628" customWidth="1"/>
    <col min="5" max="5" width="11.1504424778761" customWidth="1"/>
    <col min="6" max="6" width="12.6194690265487" customWidth="1"/>
    <col min="7" max="7" width="9.69026548672566" customWidth="1"/>
  </cols>
  <sheetData>
    <row r="1" s="33" customFormat="1" ht="14.6" spans="1:8">
      <c r="A1" s="56" t="s">
        <v>109</v>
      </c>
      <c r="B1" s="57"/>
      <c r="C1" s="57"/>
      <c r="D1" s="57"/>
      <c r="E1" s="57"/>
      <c r="F1" s="57"/>
      <c r="G1" s="57"/>
      <c r="H1" s="59"/>
    </row>
    <row r="2" s="54" customFormat="1" ht="56.25" spans="1:8">
      <c r="A2" s="60" t="s">
        <v>68</v>
      </c>
      <c r="B2" s="61" t="s">
        <v>87</v>
      </c>
      <c r="C2" s="62" t="s">
        <v>110</v>
      </c>
      <c r="D2" s="62" t="s">
        <v>111</v>
      </c>
      <c r="E2" s="62" t="s">
        <v>112</v>
      </c>
      <c r="F2" s="62" t="s">
        <v>113</v>
      </c>
      <c r="G2" s="63" t="s">
        <v>114</v>
      </c>
      <c r="H2" s="64" t="s">
        <v>115</v>
      </c>
    </row>
    <row r="3" spans="1:8">
      <c r="A3" s="77" t="s">
        <v>116</v>
      </c>
      <c r="B3" s="78" t="s">
        <v>117</v>
      </c>
      <c r="C3" s="67">
        <v>350</v>
      </c>
      <c r="D3" s="67">
        <f>60/1000</f>
        <v>0.06</v>
      </c>
      <c r="E3" s="67">
        <v>6</v>
      </c>
      <c r="F3" s="67">
        <v>15</v>
      </c>
      <c r="G3" s="67">
        <v>0.96</v>
      </c>
      <c r="H3" s="70">
        <f>C3*D3*E3*F3*G3</f>
        <v>1814.4</v>
      </c>
    </row>
    <row r="4" ht="14.25" spans="1:8">
      <c r="A4" s="79" t="s">
        <v>118</v>
      </c>
      <c r="B4" s="80" t="s">
        <v>119</v>
      </c>
      <c r="C4" s="73">
        <v>350</v>
      </c>
      <c r="D4" s="73">
        <f>7.4/1000</f>
        <v>0.0074</v>
      </c>
      <c r="E4" s="73">
        <v>6</v>
      </c>
      <c r="F4" s="73">
        <v>15</v>
      </c>
      <c r="G4" s="73">
        <v>0.96</v>
      </c>
      <c r="H4" s="76">
        <f>C4*D4*E4*F4*G4</f>
        <v>223.776</v>
      </c>
    </row>
    <row r="8" spans="1:8">
      <c r="A8" s="32"/>
    </row>
    <row r="9" spans="1:8">
      <c r="A9" s="3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F19" sqref="F19"/>
    </sheetView>
  </sheetViews>
  <sheetFormatPr defaultColWidth="9.02654867256637" defaultRowHeight="13.5" outlineLevelRow="3"/>
  <cols>
    <col min="1" max="1" width="9.02654867256637" style="55"/>
    <col min="2" max="2" width="10.9115044247788" style="55" customWidth="1"/>
    <col min="3" max="4" width="8.36283185840708" style="55" customWidth="1"/>
    <col min="5" max="6" width="10.9557522123894" style="55" customWidth="1"/>
    <col min="7" max="7" width="9.02654867256637" style="55"/>
    <col min="8" max="8" width="19.0530973451327" style="55" customWidth="1"/>
    <col min="9" max="9" width="15.212389380531" style="55" customWidth="1"/>
    <col min="10" max="16384" width="9.02654867256637" style="55"/>
  </cols>
  <sheetData>
    <row r="1" s="33" customFormat="1" ht="14.6" spans="1:9">
      <c r="A1" s="56" t="s">
        <v>120</v>
      </c>
      <c r="B1" s="57"/>
      <c r="C1" s="57"/>
      <c r="D1" s="57"/>
      <c r="E1" s="57"/>
      <c r="F1" s="57"/>
      <c r="G1" s="57"/>
      <c r="H1" s="58"/>
      <c r="I1" s="59"/>
    </row>
    <row r="2" s="54" customFormat="1" ht="56.25" spans="1:9">
      <c r="A2" s="60" t="s">
        <v>68</v>
      </c>
      <c r="B2" s="61" t="s">
        <v>85</v>
      </c>
      <c r="C2" s="62" t="s">
        <v>121</v>
      </c>
      <c r="D2" s="62" t="s">
        <v>122</v>
      </c>
      <c r="E2" s="62" t="s">
        <v>123</v>
      </c>
      <c r="F2" s="62" t="s">
        <v>124</v>
      </c>
      <c r="G2" s="62" t="s">
        <v>125</v>
      </c>
      <c r="H2" s="63" t="s">
        <v>126</v>
      </c>
      <c r="I2" s="64" t="s">
        <v>127</v>
      </c>
    </row>
    <row r="3" ht="13.85" spans="1:9">
      <c r="A3" s="65" t="s">
        <v>128</v>
      </c>
      <c r="B3" s="66" t="s">
        <v>129</v>
      </c>
      <c r="C3" s="67">
        <v>60</v>
      </c>
      <c r="D3" s="67">
        <v>0.5</v>
      </c>
      <c r="E3" s="67">
        <v>2.8</v>
      </c>
      <c r="F3" s="68">
        <v>0.85</v>
      </c>
      <c r="G3" s="67">
        <v>20</v>
      </c>
      <c r="H3" s="69">
        <f>C3*D3*E3*F3</f>
        <v>71.4</v>
      </c>
      <c r="I3" s="70">
        <f>G3*H3</f>
        <v>1428</v>
      </c>
    </row>
    <row r="4" ht="14.6" spans="1:9">
      <c r="A4" s="71" t="s">
        <v>130</v>
      </c>
      <c r="B4" s="72" t="s">
        <v>104</v>
      </c>
      <c r="C4" s="73">
        <v>7.4</v>
      </c>
      <c r="D4" s="73">
        <v>0.5</v>
      </c>
      <c r="E4" s="73">
        <v>2.8</v>
      </c>
      <c r="F4" s="74">
        <v>0.85</v>
      </c>
      <c r="G4" s="73">
        <v>20</v>
      </c>
      <c r="H4" s="75">
        <f>C4*D4*E4*F4</f>
        <v>8.806</v>
      </c>
      <c r="I4" s="76">
        <f>G4*H4</f>
        <v>176.12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5" sqref="A3:A5"/>
    </sheetView>
  </sheetViews>
  <sheetFormatPr defaultColWidth="9.02654867256637" defaultRowHeight="13.5" outlineLevelRow="5"/>
  <cols>
    <col min="1" max="1" width="14.7345132743363" customWidth="1"/>
    <col min="2" max="2" width="17.3982300884956" customWidth="1"/>
    <col min="3" max="3" width="23.1681415929204" customWidth="1"/>
    <col min="4" max="4" width="18.0619469026549" customWidth="1"/>
    <col min="5" max="5" width="15.8053097345133" customWidth="1"/>
  </cols>
  <sheetData>
    <row r="1" ht="14.25" spans="1:11">
      <c r="A1" s="37" t="s">
        <v>131</v>
      </c>
      <c r="B1" s="4"/>
      <c r="C1" s="4"/>
      <c r="D1" s="4"/>
      <c r="E1" s="6"/>
      <c r="F1" s="5"/>
      <c r="G1" s="5"/>
      <c r="H1" s="5"/>
      <c r="I1" s="5"/>
      <c r="J1" s="5"/>
      <c r="K1" s="6"/>
    </row>
    <row r="2" s="36" customFormat="1" ht="28.5" spans="1:11">
      <c r="A2" s="38" t="s">
        <v>87</v>
      </c>
      <c r="B2" s="39" t="s">
        <v>132</v>
      </c>
      <c r="C2" s="40" t="s">
        <v>133</v>
      </c>
      <c r="D2" s="40" t="s">
        <v>134</v>
      </c>
      <c r="E2" s="41" t="s">
        <v>135</v>
      </c>
    </row>
    <row r="3" ht="13.85" spans="1:11">
      <c r="A3" s="42" t="s">
        <v>117</v>
      </c>
      <c r="B3" s="43">
        <v>20000</v>
      </c>
      <c r="C3" s="44">
        <f>B3*50%</f>
        <v>10000</v>
      </c>
      <c r="D3" s="44">
        <f>C3*80%</f>
        <v>8000</v>
      </c>
      <c r="E3" s="45">
        <f>SUM(C3:D3)</f>
        <v>18000</v>
      </c>
    </row>
    <row r="4" ht="13.85" spans="1:11">
      <c r="A4" s="46" t="s">
        <v>119</v>
      </c>
      <c r="B4" s="47">
        <v>1500</v>
      </c>
      <c r="C4" s="48">
        <f>4000-1500</f>
        <v>2500</v>
      </c>
      <c r="D4" s="48">
        <f>C4*80%</f>
        <v>2000</v>
      </c>
      <c r="E4" s="49">
        <f>SUM(C4:D4)</f>
        <v>4500</v>
      </c>
    </row>
    <row r="5" ht="14.6" spans="1:11">
      <c r="A5" s="50" t="s">
        <v>26</v>
      </c>
      <c r="B5" s="51"/>
      <c r="C5" s="52"/>
      <c r="D5" s="52"/>
      <c r="E5" s="53">
        <f>SUM(E3:E4)</f>
        <v>22500</v>
      </c>
    </row>
    <row r="6" spans="1:11">
      <c r="A6" s="30"/>
      <c r="B6" s="30"/>
      <c r="C6" s="30"/>
      <c r="D6" s="30"/>
      <c r="E6" s="3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A1" sqref="$A1:$XFD1"/>
    </sheetView>
  </sheetViews>
  <sheetFormatPr defaultColWidth="9.02654867256637" defaultRowHeight="13.5"/>
  <cols>
    <col min="1" max="1" width="20.7079646017699" style="2" customWidth="1"/>
    <col min="2" max="2" width="9.23008849557522" style="2" customWidth="1"/>
    <col min="3" max="3" width="10.2300884955752" style="2" customWidth="1"/>
    <col min="4" max="4" width="15" style="2" customWidth="1"/>
    <col min="5" max="5" width="16.5309734513274" customWidth="1"/>
    <col min="6" max="6" width="8.6283185840708" customWidth="1"/>
    <col min="7" max="7" width="14.4690265486726" customWidth="1"/>
    <col min="8" max="8" width="12.283185840708" customWidth="1"/>
    <col min="9" max="10" width="12.3451327433628" customWidth="1"/>
    <col min="11" max="11" width="12.212389380531" customWidth="1"/>
  </cols>
  <sheetData>
    <row r="1" ht="14.25" spans="1:11">
      <c r="A1" s="3" t="s">
        <v>136</v>
      </c>
      <c r="B1" s="4"/>
      <c r="C1" s="4"/>
      <c r="D1" s="4"/>
      <c r="E1" s="5"/>
      <c r="F1" s="5"/>
      <c r="G1" s="5"/>
      <c r="H1" s="5"/>
      <c r="I1" s="5"/>
      <c r="J1" s="5"/>
      <c r="K1" s="6"/>
    </row>
    <row r="2" s="1" customFormat="1" ht="41.65" spans="1:11">
      <c r="A2" s="7" t="s">
        <v>68</v>
      </c>
      <c r="B2" s="8" t="s">
        <v>137</v>
      </c>
      <c r="C2" s="8" t="s">
        <v>70</v>
      </c>
      <c r="D2" s="8" t="s">
        <v>138</v>
      </c>
      <c r="E2" s="8" t="s">
        <v>139</v>
      </c>
      <c r="F2" s="8" t="s">
        <v>140</v>
      </c>
      <c r="G2" s="8" t="s">
        <v>141</v>
      </c>
      <c r="H2" s="9" t="s">
        <v>142</v>
      </c>
      <c r="I2" s="8" t="s">
        <v>143</v>
      </c>
      <c r="J2" s="8" t="s">
        <v>144</v>
      </c>
      <c r="K2" s="10" t="s">
        <v>145</v>
      </c>
    </row>
    <row r="3" s="1" customFormat="1" ht="13.9" spans="1:11">
      <c r="A3" s="11" t="s">
        <v>79</v>
      </c>
      <c r="B3" s="12">
        <v>10</v>
      </c>
      <c r="C3" s="13">
        <v>5</v>
      </c>
      <c r="D3" s="13">
        <v>350</v>
      </c>
      <c r="E3" s="14">
        <f>B3*D3</f>
        <v>3500</v>
      </c>
      <c r="F3" s="13">
        <f>7*3*350+60*0.5*20</f>
        <v>7950</v>
      </c>
      <c r="G3" s="15">
        <v>0.05</v>
      </c>
      <c r="H3" s="16">
        <f>B3*F3*G3</f>
        <v>3975</v>
      </c>
      <c r="I3" s="13">
        <v>200</v>
      </c>
      <c r="J3" s="17">
        <f>C3*I3</f>
        <v>1000</v>
      </c>
      <c r="K3" s="18">
        <f>SUM(E3,H3,I3)</f>
        <v>7675</v>
      </c>
    </row>
    <row r="4" s="1" customFormat="1" ht="13.9" spans="1:11">
      <c r="A4" s="11" t="s">
        <v>80</v>
      </c>
      <c r="B4" s="12">
        <v>20</v>
      </c>
      <c r="C4" s="13">
        <v>10</v>
      </c>
      <c r="D4" s="13">
        <v>350</v>
      </c>
      <c r="E4" s="14">
        <f>B4*D4</f>
        <v>7000</v>
      </c>
      <c r="F4" s="13">
        <f>7*1.5*350+50*0.5*20</f>
        <v>4175</v>
      </c>
      <c r="G4" s="15">
        <v>0.05</v>
      </c>
      <c r="H4" s="16">
        <f>B4*F4*G4</f>
        <v>4175</v>
      </c>
      <c r="I4" s="13">
        <v>200</v>
      </c>
      <c r="J4" s="17">
        <f>C4*I4</f>
        <v>2000</v>
      </c>
      <c r="K4" s="18">
        <f>SUM(E4,H4,I4)</f>
        <v>11375</v>
      </c>
    </row>
    <row r="5" s="1" customFormat="1" ht="14.65" spans="1:11">
      <c r="A5" s="19" t="s">
        <v>81</v>
      </c>
      <c r="B5" s="20">
        <v>80</v>
      </c>
      <c r="C5" s="21">
        <v>50</v>
      </c>
      <c r="D5" s="21">
        <v>350</v>
      </c>
      <c r="E5" s="14">
        <f>B5*D5</f>
        <v>28000</v>
      </c>
      <c r="F5" s="21">
        <f>7*1.5*350+7.4*0.5*20</f>
        <v>3749</v>
      </c>
      <c r="G5" s="22">
        <f>0.05*60%</f>
        <v>0.03</v>
      </c>
      <c r="H5" s="16">
        <f>B5*F5*G5</f>
        <v>8997.6</v>
      </c>
      <c r="I5" s="13">
        <v>60</v>
      </c>
      <c r="J5" s="17">
        <f>C5*I5</f>
        <v>3000</v>
      </c>
      <c r="K5" s="23">
        <f>SUM(E5,H5,I5)</f>
        <v>37057.6</v>
      </c>
    </row>
    <row r="6" s="1" customFormat="1" ht="14.65" spans="1:11">
      <c r="A6" s="24" t="s">
        <v>146</v>
      </c>
      <c r="B6" s="25"/>
      <c r="C6" s="26"/>
      <c r="D6" s="26"/>
      <c r="E6" s="27">
        <f t="shared" ref="E6:J6" si="0">SUM(E3:E5)</f>
        <v>38500</v>
      </c>
      <c r="F6" s="26"/>
      <c r="G6" s="26"/>
      <c r="H6" s="27">
        <f t="shared" si="0"/>
        <v>17147.6</v>
      </c>
      <c r="I6" s="26"/>
      <c r="J6" s="27">
        <f t="shared" si="0"/>
        <v>6000</v>
      </c>
      <c r="K6" s="28">
        <f>SUM(E6,H6,J6)</f>
        <v>61647.6</v>
      </c>
    </row>
    <row r="7" ht="13.85" spans="1:11">
      <c r="A7" s="29"/>
      <c r="B7" s="29"/>
      <c r="C7" s="29"/>
      <c r="D7" s="29"/>
      <c r="E7" s="30"/>
      <c r="F7" s="30"/>
      <c r="G7" s="30"/>
      <c r="H7" s="30"/>
      <c r="I7" s="30"/>
      <c r="J7" s="30"/>
      <c r="K7" s="30"/>
    </row>
    <row r="8" ht="13.85" spans="1:11">
      <c r="A8" s="29"/>
      <c r="B8" s="29"/>
      <c r="C8" s="29"/>
      <c r="D8" s="29"/>
      <c r="E8" s="30"/>
      <c r="F8" s="30"/>
      <c r="G8" s="30"/>
      <c r="H8" s="30"/>
      <c r="I8" s="30"/>
      <c r="J8" s="30"/>
      <c r="K8" s="30"/>
    </row>
    <row r="9" ht="13.85" spans="1:11">
      <c r="A9" s="29"/>
      <c r="B9" s="29"/>
      <c r="C9" s="29"/>
      <c r="D9" s="29"/>
      <c r="E9" s="30"/>
      <c r="F9" s="30"/>
      <c r="G9" s="30"/>
      <c r="H9" s="30"/>
      <c r="I9" s="30"/>
      <c r="J9" s="30"/>
      <c r="K9" s="30"/>
    </row>
    <row r="10" ht="13.85" spans="1:11">
      <c r="A10" s="29"/>
      <c r="B10" s="29"/>
      <c r="C10" s="29"/>
      <c r="D10" s="29"/>
      <c r="E10" s="31"/>
      <c r="F10" s="32"/>
      <c r="G10" s="30"/>
      <c r="H10" s="30"/>
      <c r="I10" s="30"/>
      <c r="J10" s="30"/>
      <c r="K10" s="30"/>
    </row>
    <row r="11" ht="13.85" spans="1:11">
      <c r="A11" s="33"/>
      <c r="B11" s="33"/>
      <c r="C11" s="33"/>
      <c r="D11" s="33"/>
      <c r="E11"/>
      <c r="F11"/>
      <c r="G11" s="30"/>
      <c r="H11" s="30"/>
      <c r="I11" s="30"/>
      <c r="J11" s="30"/>
      <c r="K11" s="30"/>
    </row>
    <row r="12" ht="13.85" spans="1:11">
      <c r="E12" s="31"/>
      <c r="F12" s="31"/>
    </row>
    <row r="14" ht="13.85" spans="1:11">
      <c r="A14" s="34"/>
      <c r="B14" s="34"/>
      <c r="C14" s="34"/>
      <c r="D14" s="34"/>
      <c r="E14" s="29"/>
      <c r="F14" s="32"/>
      <c r="G14" s="29"/>
      <c r="H14" s="29"/>
      <c r="I14" s="33"/>
      <c r="J14" s="33"/>
    </row>
    <row r="15" ht="13.85" spans="1:11">
      <c r="A15" s="34"/>
      <c r="B15" s="34"/>
      <c r="C15" s="34"/>
      <c r="D15" s="34"/>
    </row>
    <row r="16" ht="13.85" spans="1:11">
      <c r="A16" s="34"/>
      <c r="B16" s="34"/>
      <c r="C16" s="34"/>
      <c r="D16" s="34"/>
      <c r="F16" s="31"/>
    </row>
    <row r="17" ht="13.85" spans="1:4">
      <c r="A17" s="34"/>
      <c r="B17" s="34"/>
      <c r="C17" s="34"/>
      <c r="D17" s="34"/>
    </row>
    <row r="18" ht="13.85" spans="1:4">
      <c r="A18" s="35"/>
      <c r="B18" s="35"/>
      <c r="C18" s="35"/>
      <c r="D18" s="35"/>
    </row>
    <row r="19" ht="13.85" spans="1:4">
      <c r="A19" s="34"/>
      <c r="B19" s="34"/>
      <c r="C19" s="34"/>
      <c r="D19" s="3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Cost-Benefit Analysis</vt:lpstr>
      <vt:lpstr>Revenue</vt:lpstr>
      <vt:lpstr>Revenue-Arbitrage</vt:lpstr>
      <vt:lpstr>Revenue-Ancilary Service</vt:lpstr>
      <vt:lpstr>Revenue-DR</vt:lpstr>
      <vt:lpstr>CAPEX</vt:lpstr>
      <vt:lpstr>OPEX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HP'</dc:creator>
  <cp:lastModifiedBy>Office</cp:lastModifiedBy>
  <dcterms:created xsi:type="dcterms:W3CDTF">2026-01-03T06:14:19Z</dcterms:created>
  <dcterms:modified xsi:type="dcterms:W3CDTF">2026-01-07T13:02:16Z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E888D26BEE614598BBC5C3CD330C6274_11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